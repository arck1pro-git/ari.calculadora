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ia\Desktop\"/>
    </mc:Choice>
  </mc:AlternateContent>
  <xr:revisionPtr revIDLastSave="0" documentId="8_{B6387AA5-22E5-4C1D-9B4F-890391EA9052}" xr6:coauthVersionLast="47" xr6:coauthVersionMax="47" xr10:uidLastSave="{00000000-0000-0000-0000-000000000000}"/>
  <bookViews>
    <workbookView xWindow="-108" yWindow="-108" windowWidth="23256" windowHeight="12456" xr2:uid="{5A8025EA-F059-426B-9CBC-C14C7B7FC33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6" i="1" l="1"/>
  <c r="S43" i="1"/>
  <c r="R45" i="1"/>
  <c r="R42" i="1"/>
  <c r="Q44" i="1"/>
  <c r="Q41" i="1"/>
  <c r="P46" i="1"/>
  <c r="O45" i="1"/>
  <c r="N44" i="1"/>
  <c r="P43" i="1"/>
  <c r="O42" i="1"/>
  <c r="N41" i="1"/>
  <c r="I6" i="1"/>
  <c r="I9" i="1"/>
  <c r="H8" i="1"/>
  <c r="H5" i="1"/>
  <c r="J7" i="1"/>
  <c r="J10" i="1"/>
  <c r="G7" i="1"/>
  <c r="F6" i="1"/>
  <c r="E5" i="1"/>
  <c r="J46" i="1"/>
  <c r="M46" i="1" s="1"/>
  <c r="I45" i="1"/>
  <c r="L45" i="1" s="1"/>
  <c r="H44" i="1"/>
  <c r="K44" i="1" s="1"/>
  <c r="G43" i="1"/>
  <c r="J43" i="1" s="1"/>
  <c r="M43" i="1" s="1"/>
  <c r="I42" i="1"/>
  <c r="L42" i="1" s="1"/>
  <c r="F42" i="1"/>
  <c r="E41" i="1"/>
  <c r="H41" i="1" s="1"/>
  <c r="K41" i="1" s="1"/>
  <c r="G19" i="1"/>
  <c r="F18" i="1"/>
  <c r="I18" i="1" s="1"/>
  <c r="E17" i="1"/>
  <c r="H17" i="1" s="1"/>
  <c r="K17" i="1" s="1"/>
  <c r="G31" i="1"/>
  <c r="F30" i="1"/>
  <c r="I30" i="1" s="1"/>
  <c r="L30" i="1" s="1"/>
  <c r="O30" i="1" s="1"/>
  <c r="E29" i="1"/>
  <c r="H29" i="1" s="1"/>
  <c r="K29" i="1" s="1"/>
  <c r="N29" i="1" s="1"/>
  <c r="I21" i="1"/>
  <c r="L21" i="1" s="1"/>
  <c r="H20" i="1"/>
  <c r="K20" i="1" s="1"/>
  <c r="J22" i="1"/>
  <c r="M22" i="1" s="1"/>
  <c r="J34" i="1"/>
  <c r="M34" i="1" s="1"/>
  <c r="P34" i="1" s="1"/>
  <c r="I33" i="1"/>
  <c r="L33" i="1" s="1"/>
  <c r="O33" i="1" s="1"/>
  <c r="H32" i="1"/>
  <c r="K32" i="1" s="1"/>
  <c r="N32" i="1" s="1"/>
  <c r="J31" i="1"/>
  <c r="M31" i="1" s="1"/>
  <c r="P31" i="1" s="1"/>
  <c r="H13" i="1" l="1"/>
  <c r="H12" i="1"/>
  <c r="I12" i="1" s="1"/>
  <c r="J12" i="1" s="1"/>
  <c r="Q48" i="1"/>
  <c r="R48" i="1" s="1"/>
  <c r="S48" i="1" s="1"/>
  <c r="Q49" i="1"/>
  <c r="N37" i="1"/>
  <c r="L18" i="1"/>
  <c r="J19" i="1"/>
  <c r="M19" i="1" s="1"/>
  <c r="N36" i="1"/>
  <c r="O36" i="1" s="1"/>
  <c r="P36" i="1" s="1"/>
  <c r="K24" i="1"/>
  <c r="L24" i="1" l="1"/>
  <c r="M24" i="1" s="1"/>
  <c r="K25" i="1"/>
</calcChain>
</file>

<file path=xl/sharedStrings.xml><?xml version="1.0" encoding="utf-8"?>
<sst xmlns="http://schemas.openxmlformats.org/spreadsheetml/2006/main" count="68" uniqueCount="23">
  <si>
    <t>Aporto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</si>
  <si>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</si>
  <si>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</si>
  <si>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</si>
  <si>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</si>
  <si>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</si>
  <si>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</si>
  <si>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</si>
  <si>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</si>
  <si>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</si>
  <si>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10º Ano</t>
  </si>
  <si>
    <t>11º Ano</t>
  </si>
  <si>
    <t>12º Ano</t>
  </si>
  <si>
    <t>Patrimonio</t>
  </si>
  <si>
    <t>Patrimonio Total</t>
  </si>
  <si>
    <t>Aposen Mês</t>
  </si>
  <si>
    <t>Aposenta em 6 Anos</t>
  </si>
  <si>
    <t>Aposenta em 9 Anos</t>
  </si>
  <si>
    <t>Aposenta em 12 Anos</t>
  </si>
  <si>
    <t>13º Ano</t>
  </si>
  <si>
    <t>14º Ano</t>
  </si>
  <si>
    <t>15º Ano</t>
  </si>
  <si>
    <t>Aposenta em 15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</si>
</sst>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&quot;R$&quot;\ 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0" fillId="2" borderId="0" xfId="0" applyFill="1"/>
    <xf numFmtId="0" fontId="0" fillId="3" borderId="0" xfId="0" applyFill="1"/>
    <xf numFmtId="44" fontId="0" fillId="3" borderId="0" xfId="0" applyNumberFormat="1" applyFill="1"/>
    <xf numFmtId="169" fontId="0" fillId="4" borderId="0" xfId="1" applyNumberFormat="1" applyFont="1" applyFill="1" applyAlignment="1">
      <alignment horizontal="center"/>
    </xf>
    <xf numFmtId="0" fontId="0" fillId="0" borderId="0" xfId="0" applyFill="1"/>
    <xf numFmtId="169" fontId="0" fillId="0" borderId="0" xfId="1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364C-476A-47E7-9206-804885A3E33F}">
  <dimension ref="A3:S49"/>
  <sheetViews>
    <sheetView tabSelected="1" topLeftCell="B1" workbookViewId="0">
      <selection activeCell="L12" sqref="L12"/>
    </sheetView>
  </sheetViews>
  <sheetFormatPr defaultRowHeight="14.4" x14ac:dyDescent="0.3"/>
  <cols>
    <col min="1" max="1" width="6.6640625" bestFit="1" customWidth="1"/>
    <col min="2" max="2" width="14" bestFit="1" customWidth="1"/>
    <col min="3" max="3" width="12.88671875" customWidth="1"/>
    <col min="4" max="4" width="12.88671875" bestFit="1" customWidth="1"/>
    <col min="5" max="12" width="14" bestFit="1" customWidth="1"/>
    <col min="13" max="13" width="16.88671875" bestFit="1" customWidth="1"/>
    <col min="14" max="14" width="15.5546875" bestFit="1" customWidth="1"/>
    <col min="15" max="16" width="14" bestFit="1" customWidth="1"/>
    <col min="17" max="19" width="15.5546875" bestFit="1" customWidth="1"/>
  </cols>
  <sheetData>
    <row r="3" spans="1:13" x14ac:dyDescent="0.3">
      <c r="A3" s="8" t="s">
        <v>16</v>
      </c>
      <c r="B3" s="8"/>
      <c r="C3" s="8"/>
      <c r="D3" s="8"/>
      <c r="E3" s="8"/>
      <c r="F3" s="8"/>
      <c r="G3" s="8"/>
      <c r="H3" s="8"/>
      <c r="I3" s="8"/>
      <c r="J3" s="8"/>
    </row>
    <row r="4" spans="1:13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13</v>
      </c>
      <c r="I4" s="2" t="s">
        <v>13</v>
      </c>
      <c r="J4" s="2" t="s">
        <v>13</v>
      </c>
    </row>
    <row r="5" spans="1:13" x14ac:dyDescent="0.3">
      <c r="A5" s="2">
        <v>1</v>
      </c>
      <c r="B5" s="1">
        <v>50000</v>
      </c>
      <c r="C5" s="1"/>
      <c r="E5" s="1">
        <f>B5*(36*0.023)+B5</f>
        <v>91400</v>
      </c>
      <c r="F5" s="1"/>
      <c r="G5" s="1"/>
      <c r="H5" s="1">
        <f>E5*(36*0.028)+E5</f>
        <v>183531.2</v>
      </c>
    </row>
    <row r="6" spans="1:13" x14ac:dyDescent="0.3">
      <c r="A6" s="2">
        <v>2</v>
      </c>
      <c r="B6" s="1"/>
      <c r="C6" s="1">
        <v>50000</v>
      </c>
      <c r="D6" s="1"/>
      <c r="E6" s="1"/>
      <c r="F6" s="1">
        <f>C6*(36*0.026)+C6</f>
        <v>96800</v>
      </c>
      <c r="G6" s="1"/>
      <c r="I6" s="1">
        <f>F6*(36*0.03)+F6</f>
        <v>201344</v>
      </c>
    </row>
    <row r="7" spans="1:13" x14ac:dyDescent="0.3">
      <c r="A7" s="2">
        <v>3</v>
      </c>
      <c r="B7" s="1"/>
      <c r="C7" s="1"/>
      <c r="D7" s="1">
        <v>50000</v>
      </c>
      <c r="E7" s="1"/>
      <c r="F7" s="1"/>
      <c r="G7" s="1">
        <f>D7*(36*0.026)+D7</f>
        <v>96800</v>
      </c>
      <c r="J7" s="1">
        <f>G7*(36*0.03)+G7</f>
        <v>201344</v>
      </c>
    </row>
    <row r="8" spans="1:13" x14ac:dyDescent="0.3">
      <c r="A8" s="2">
        <v>4</v>
      </c>
      <c r="B8" s="1"/>
      <c r="C8" s="1"/>
      <c r="D8" s="1"/>
      <c r="E8" s="1">
        <v>50000</v>
      </c>
      <c r="F8" s="1"/>
      <c r="G8" s="1"/>
      <c r="H8" s="1">
        <f>E8*(36*0.028)+E8</f>
        <v>100400</v>
      </c>
    </row>
    <row r="9" spans="1:13" x14ac:dyDescent="0.3">
      <c r="A9" s="2">
        <v>5</v>
      </c>
      <c r="B9" s="1"/>
      <c r="C9" s="1"/>
      <c r="D9" s="1"/>
      <c r="E9" s="1"/>
      <c r="F9" s="1">
        <v>50000</v>
      </c>
      <c r="G9" s="1"/>
      <c r="I9" s="1">
        <f>F9*(36*0.03)+F9</f>
        <v>104000</v>
      </c>
    </row>
    <row r="10" spans="1:13" x14ac:dyDescent="0.3">
      <c r="A10" s="2">
        <v>6</v>
      </c>
      <c r="B10" s="1"/>
      <c r="C10" s="1"/>
      <c r="D10" s="1"/>
      <c r="E10" s="1"/>
      <c r="F10" s="1"/>
      <c r="G10" s="1">
        <v>50000</v>
      </c>
      <c r="J10" s="1">
        <f>G10*(36*0.03)+G10</f>
        <v>104000</v>
      </c>
    </row>
    <row r="12" spans="1:13" x14ac:dyDescent="0.3">
      <c r="H12" s="4">
        <f>(SUM(H5:H11))*0.025</f>
        <v>7098.2800000000007</v>
      </c>
      <c r="I12" s="4">
        <f>((SUM(I5:I11))*0.025)+H12</f>
        <v>14731.880000000001</v>
      </c>
      <c r="J12" s="4">
        <f>((SUM(J5:J11))*0.025)+I12</f>
        <v>22365.480000000003</v>
      </c>
    </row>
    <row r="13" spans="1:13" x14ac:dyDescent="0.3">
      <c r="H13" s="5">
        <f>SUM(H5:J11)</f>
        <v>894619.2</v>
      </c>
      <c r="I13" s="5"/>
      <c r="J13" s="5"/>
    </row>
    <row r="15" spans="1:13" x14ac:dyDescent="0.3">
      <c r="A15" s="8" t="s">
        <v>17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13</v>
      </c>
      <c r="L16" s="2" t="s">
        <v>13</v>
      </c>
      <c r="M16" s="2" t="s">
        <v>13</v>
      </c>
    </row>
    <row r="17" spans="1:16" x14ac:dyDescent="0.3">
      <c r="A17" s="2">
        <v>1</v>
      </c>
      <c r="B17" s="1">
        <v>50000</v>
      </c>
      <c r="C17" s="1"/>
      <c r="E17" s="1">
        <f>B17*(36*0.023)+B17</f>
        <v>91400</v>
      </c>
      <c r="F17" s="1"/>
      <c r="G17" s="1"/>
      <c r="H17" s="1">
        <f>E17*(36*0.028)+E17</f>
        <v>183531.2</v>
      </c>
      <c r="I17" s="1"/>
      <c r="J17" s="1"/>
      <c r="K17" s="1">
        <f>H17*(36*0.03)+H17</f>
        <v>381744.89600000007</v>
      </c>
    </row>
    <row r="18" spans="1:16" x14ac:dyDescent="0.3">
      <c r="A18" s="2">
        <v>2</v>
      </c>
      <c r="B18" s="1"/>
      <c r="C18" s="1">
        <v>50000</v>
      </c>
      <c r="D18" s="1"/>
      <c r="E18" s="1"/>
      <c r="F18" s="1">
        <f>C18*(36*0.026)+C18</f>
        <v>96800</v>
      </c>
      <c r="G18" s="1"/>
      <c r="H18" s="1"/>
      <c r="I18" s="1">
        <f>F18*(36*0.028)+F18</f>
        <v>194374.39999999999</v>
      </c>
      <c r="J18" s="1"/>
      <c r="L18" s="1">
        <f>I18*(36*0.03)+I18</f>
        <v>404298.75199999998</v>
      </c>
    </row>
    <row r="19" spans="1:16" x14ac:dyDescent="0.3">
      <c r="A19" s="2">
        <v>3</v>
      </c>
      <c r="B19" s="1"/>
      <c r="C19" s="1"/>
      <c r="D19" s="1">
        <v>50000</v>
      </c>
      <c r="E19" s="1"/>
      <c r="F19" s="1"/>
      <c r="G19" s="1">
        <f>D19*(36*0.026)+D19</f>
        <v>96800</v>
      </c>
      <c r="H19" s="1"/>
      <c r="I19" s="1"/>
      <c r="J19" s="1">
        <f>G19*(36*0.03)+G19</f>
        <v>201344</v>
      </c>
      <c r="M19" s="1">
        <f>J19*(36*0.03)+J19</f>
        <v>418795.52000000002</v>
      </c>
    </row>
    <row r="20" spans="1:16" x14ac:dyDescent="0.3">
      <c r="A20" s="2">
        <v>4</v>
      </c>
      <c r="B20" s="1"/>
      <c r="C20" s="1"/>
      <c r="D20" s="1"/>
      <c r="E20" s="1">
        <v>50000</v>
      </c>
      <c r="F20" s="1"/>
      <c r="G20" s="1"/>
      <c r="H20" s="1">
        <f>E20*(36*0.028)+E20</f>
        <v>100400</v>
      </c>
      <c r="I20" s="1"/>
      <c r="J20" s="1"/>
      <c r="K20" s="1">
        <f>H20*(36*0.03)+H20</f>
        <v>208832</v>
      </c>
    </row>
    <row r="21" spans="1:16" x14ac:dyDescent="0.3">
      <c r="A21" s="2">
        <v>5</v>
      </c>
      <c r="B21" s="1"/>
      <c r="C21" s="1"/>
      <c r="D21" s="1"/>
      <c r="E21" s="1"/>
      <c r="F21" s="1">
        <v>50000</v>
      </c>
      <c r="G21" s="1"/>
      <c r="H21" s="1"/>
      <c r="I21" s="1">
        <f>F21*(36*0.028)+F21</f>
        <v>100400</v>
      </c>
      <c r="J21" s="1"/>
      <c r="L21" s="1">
        <f>I21*(36*0.03)+I21</f>
        <v>208832</v>
      </c>
    </row>
    <row r="22" spans="1:16" x14ac:dyDescent="0.3">
      <c r="A22" s="2">
        <v>6</v>
      </c>
      <c r="B22" s="1"/>
      <c r="C22" s="1"/>
      <c r="D22" s="1"/>
      <c r="E22" s="1"/>
      <c r="F22" s="1"/>
      <c r="G22" s="1">
        <v>50000</v>
      </c>
      <c r="H22" s="1"/>
      <c r="I22" s="1"/>
      <c r="J22" s="1">
        <f>G22*(36*0.03)+G22</f>
        <v>104000</v>
      </c>
      <c r="M22" s="1">
        <f>J22*(36*0.03)+J22</f>
        <v>216320</v>
      </c>
    </row>
    <row r="24" spans="1:16" x14ac:dyDescent="0.3">
      <c r="J24" s="3" t="s">
        <v>15</v>
      </c>
      <c r="K24" s="4">
        <f>(SUM(K17:K23))*0.025</f>
        <v>14764.422400000003</v>
      </c>
      <c r="L24" s="4">
        <f>((SUM(L17:L23))*0.025)+K24</f>
        <v>30092.691200000001</v>
      </c>
      <c r="M24" s="4">
        <f>((SUM(M17:M23))*0.025)+L24</f>
        <v>45970.5792</v>
      </c>
    </row>
    <row r="25" spans="1:16" x14ac:dyDescent="0.3">
      <c r="J25" s="2" t="s">
        <v>14</v>
      </c>
      <c r="K25" s="5">
        <f>SUM(K17:M23)</f>
        <v>1838823.1680000001</v>
      </c>
      <c r="L25" s="5"/>
      <c r="M25" s="5"/>
    </row>
    <row r="26" spans="1:16" x14ac:dyDescent="0.3">
      <c r="M26" s="6"/>
      <c r="N26" s="7"/>
      <c r="O26" s="7"/>
      <c r="P26" s="7"/>
    </row>
    <row r="27" spans="1:16" x14ac:dyDescent="0.3">
      <c r="A27" s="8" t="s">
        <v>18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x14ac:dyDescent="0.3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  <c r="O28" s="2" t="s">
        <v>13</v>
      </c>
      <c r="P28" s="2" t="s">
        <v>13</v>
      </c>
    </row>
    <row r="29" spans="1:16" x14ac:dyDescent="0.3">
      <c r="A29" s="2">
        <v>1</v>
      </c>
      <c r="B29" s="1">
        <v>50000</v>
      </c>
      <c r="C29" s="1"/>
      <c r="E29" s="1">
        <f>B29*(36*0.023)+B29</f>
        <v>91400</v>
      </c>
      <c r="F29" s="1"/>
      <c r="G29" s="1"/>
      <c r="H29" s="1">
        <f>E29*(36*0.03)+E29</f>
        <v>190112</v>
      </c>
      <c r="I29" s="1"/>
      <c r="J29" s="1"/>
      <c r="K29" s="1">
        <f>H29*(36*0.03)+H29</f>
        <v>395432.96000000002</v>
      </c>
      <c r="L29" s="1"/>
      <c r="M29" s="1"/>
      <c r="N29" s="1">
        <f>K29*(36*0.03)+K29</f>
        <v>822500.55680000014</v>
      </c>
    </row>
    <row r="30" spans="1:16" x14ac:dyDescent="0.3">
      <c r="A30" s="2">
        <v>2</v>
      </c>
      <c r="B30" s="1"/>
      <c r="C30" s="1">
        <v>50000</v>
      </c>
      <c r="D30" s="1"/>
      <c r="E30" s="1"/>
      <c r="F30" s="1">
        <f>C30*(36*0.026)+C30</f>
        <v>96800</v>
      </c>
      <c r="G30" s="1"/>
      <c r="H30" s="1"/>
      <c r="I30" s="1">
        <f>F30*(36*0.03)+F30</f>
        <v>201344</v>
      </c>
      <c r="J30" s="1"/>
      <c r="K30" s="1"/>
      <c r="L30" s="1">
        <f>I30*(36*0.03)+I30</f>
        <v>418795.52000000002</v>
      </c>
      <c r="M30" s="1"/>
      <c r="O30" s="1">
        <f>L30*(36*0.03)+L30</f>
        <v>871094.68160000001</v>
      </c>
    </row>
    <row r="31" spans="1:16" x14ac:dyDescent="0.3">
      <c r="A31" s="2">
        <v>3</v>
      </c>
      <c r="B31" s="1"/>
      <c r="C31" s="1"/>
      <c r="D31" s="1">
        <v>50000</v>
      </c>
      <c r="E31" s="1"/>
      <c r="F31" s="1"/>
      <c r="G31" s="1">
        <f>D31*(36*0.026)+D31</f>
        <v>96800</v>
      </c>
      <c r="H31" s="1"/>
      <c r="I31" s="1"/>
      <c r="J31" s="1">
        <f>G31*(36*0.03)+G31</f>
        <v>201344</v>
      </c>
      <c r="K31" s="1"/>
      <c r="L31" s="1"/>
      <c r="M31" s="1">
        <f>J31*(36*0.03)+J31</f>
        <v>418795.52000000002</v>
      </c>
      <c r="P31" s="1">
        <f>M31*(36*0.03)+M31</f>
        <v>871094.68160000001</v>
      </c>
    </row>
    <row r="32" spans="1:16" x14ac:dyDescent="0.3">
      <c r="A32" s="2">
        <v>4</v>
      </c>
      <c r="B32" s="1"/>
      <c r="C32" s="1"/>
      <c r="D32" s="1"/>
      <c r="E32" s="1">
        <v>50000</v>
      </c>
      <c r="F32" s="1"/>
      <c r="G32" s="1"/>
      <c r="H32" s="1">
        <f>E32*(36*0.03)+E32</f>
        <v>104000</v>
      </c>
      <c r="I32" s="1"/>
      <c r="J32" s="1"/>
      <c r="K32" s="1">
        <f>H32*(36*0.03)+H32</f>
        <v>216320</v>
      </c>
      <c r="L32" s="1"/>
      <c r="M32" s="1"/>
      <c r="N32" s="1">
        <f>K32*(36*0.03)+K32</f>
        <v>449945.59999999998</v>
      </c>
    </row>
    <row r="33" spans="1:19" x14ac:dyDescent="0.3">
      <c r="A33" s="2">
        <v>5</v>
      </c>
      <c r="B33" s="1"/>
      <c r="C33" s="1"/>
      <c r="D33" s="1"/>
      <c r="E33" s="1"/>
      <c r="F33" s="1">
        <v>50000</v>
      </c>
      <c r="G33" s="1"/>
      <c r="H33" s="1"/>
      <c r="I33" s="1">
        <f>F33*(36*0.03)+F33</f>
        <v>104000</v>
      </c>
      <c r="J33" s="1"/>
      <c r="K33" s="1"/>
      <c r="L33" s="1">
        <f>I33*(36*0.03)+I33</f>
        <v>216320</v>
      </c>
      <c r="M33" s="1"/>
      <c r="O33" s="1">
        <f>L33*(36*0.03)+L33</f>
        <v>449945.59999999998</v>
      </c>
    </row>
    <row r="34" spans="1:19" x14ac:dyDescent="0.3">
      <c r="A34" s="2">
        <v>6</v>
      </c>
      <c r="B34" s="1"/>
      <c r="C34" s="1"/>
      <c r="D34" s="1"/>
      <c r="E34" s="1"/>
      <c r="F34" s="1"/>
      <c r="G34" s="1">
        <v>50000</v>
      </c>
      <c r="H34" s="1"/>
      <c r="I34" s="1"/>
      <c r="J34" s="1">
        <f>G34*(36*0.03)+G34</f>
        <v>104000</v>
      </c>
      <c r="K34" s="1"/>
      <c r="L34" s="1"/>
      <c r="M34" s="1">
        <f>J34*(36*0.03)+J34</f>
        <v>216320</v>
      </c>
      <c r="P34" s="1">
        <f>M34*(36*0.03)+M34</f>
        <v>449945.59999999998</v>
      </c>
    </row>
    <row r="36" spans="1:19" x14ac:dyDescent="0.3">
      <c r="M36" s="3" t="s">
        <v>15</v>
      </c>
      <c r="N36" s="4">
        <f>(SUM(N29:N35))*0.025</f>
        <v>31811.153920000001</v>
      </c>
      <c r="O36" s="4">
        <f>((SUM(O29:O35))*0.025)+N36</f>
        <v>64837.160959999994</v>
      </c>
      <c r="P36" s="4">
        <f>((SUM(P29:P35))*0.025)+O36</f>
        <v>97863.167999999991</v>
      </c>
    </row>
    <row r="37" spans="1:19" x14ac:dyDescent="0.3">
      <c r="M37" s="2" t="s">
        <v>14</v>
      </c>
      <c r="N37" s="5">
        <f>SUM(N29:P35)</f>
        <v>3914526.7200000002</v>
      </c>
      <c r="O37" s="5"/>
      <c r="P37" s="5"/>
    </row>
    <row r="39" spans="1:19" x14ac:dyDescent="0.3">
      <c r="A39" s="8" t="s">
        <v>22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</row>
    <row r="40" spans="1:19" x14ac:dyDescent="0.3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  <c r="J40" s="2" t="s">
        <v>9</v>
      </c>
      <c r="K40" s="2" t="s">
        <v>10</v>
      </c>
      <c r="L40" s="2" t="s">
        <v>11</v>
      </c>
      <c r="M40" s="2" t="s">
        <v>12</v>
      </c>
      <c r="N40" s="2" t="s">
        <v>19</v>
      </c>
      <c r="O40" s="2" t="s">
        <v>20</v>
      </c>
      <c r="P40" s="2" t="s">
        <v>21</v>
      </c>
      <c r="Q40" s="2" t="s">
        <v>13</v>
      </c>
      <c r="R40" s="2" t="s">
        <v>13</v>
      </c>
      <c r="S40" s="2" t="s">
        <v>13</v>
      </c>
    </row>
    <row r="41" spans="1:19" x14ac:dyDescent="0.3">
      <c r="A41" s="2">
        <v>1</v>
      </c>
      <c r="B41" s="1">
        <v>50000</v>
      </c>
      <c r="C41" s="1"/>
      <c r="E41" s="1">
        <f>B41*(36*0.023)+B41</f>
        <v>91400</v>
      </c>
      <c r="F41" s="1"/>
      <c r="G41" s="1"/>
      <c r="H41" s="1">
        <f>E41*(36*0.03)+E41</f>
        <v>190112</v>
      </c>
      <c r="I41" s="1"/>
      <c r="J41" s="1"/>
      <c r="K41" s="1">
        <f>H41*(36*0.03)+H41</f>
        <v>395432.96000000002</v>
      </c>
      <c r="L41" s="1"/>
      <c r="M41" s="1"/>
      <c r="N41" s="1">
        <f>K41*(36*0.03)+K41</f>
        <v>822500.55680000014</v>
      </c>
      <c r="O41" s="1"/>
      <c r="P41" s="1"/>
      <c r="Q41" s="1">
        <f>N41*(36*0.03)+N41</f>
        <v>1710801.1581440005</v>
      </c>
    </row>
    <row r="42" spans="1:19" x14ac:dyDescent="0.3">
      <c r="A42" s="2">
        <v>2</v>
      </c>
      <c r="B42" s="1"/>
      <c r="C42" s="1">
        <v>50000</v>
      </c>
      <c r="D42" s="1"/>
      <c r="E42" s="1"/>
      <c r="F42" s="1">
        <f>C42*(36*0.026)+C42</f>
        <v>96800</v>
      </c>
      <c r="G42" s="1"/>
      <c r="H42" s="1"/>
      <c r="I42" s="1">
        <f>F42*(36*0.03)+F42</f>
        <v>201344</v>
      </c>
      <c r="J42" s="1"/>
      <c r="K42" s="1"/>
      <c r="L42" s="1">
        <f>I42*(36*0.03)+I42</f>
        <v>418795.52000000002</v>
      </c>
      <c r="M42" s="1"/>
      <c r="N42" s="1"/>
      <c r="O42" s="1">
        <f>L42*(36*0.03)+L42</f>
        <v>871094.68160000001</v>
      </c>
      <c r="P42" s="1"/>
      <c r="R42" s="1">
        <f>O42*(36*0.03)+O42</f>
        <v>1811876.9377280001</v>
      </c>
    </row>
    <row r="43" spans="1:19" x14ac:dyDescent="0.3">
      <c r="A43" s="2">
        <v>3</v>
      </c>
      <c r="B43" s="1"/>
      <c r="C43" s="1"/>
      <c r="D43" s="1">
        <v>50000</v>
      </c>
      <c r="E43" s="1"/>
      <c r="F43" s="1"/>
      <c r="G43" s="1">
        <f>D43*(36*0.026)+D43</f>
        <v>96800</v>
      </c>
      <c r="H43" s="1"/>
      <c r="I43" s="1"/>
      <c r="J43" s="1">
        <f>G43*(36*0.03)+G43</f>
        <v>201344</v>
      </c>
      <c r="K43" s="1"/>
      <c r="L43" s="1"/>
      <c r="M43" s="1">
        <f>J43*(36*0.03)+J43</f>
        <v>418795.52000000002</v>
      </c>
      <c r="N43" s="1"/>
      <c r="O43" s="1"/>
      <c r="P43" s="1">
        <f>M43*(36*0.03)+M43</f>
        <v>871094.68160000001</v>
      </c>
      <c r="S43" s="1">
        <f>P43*(36*0.03)+P43</f>
        <v>1811876.9377280001</v>
      </c>
    </row>
    <row r="44" spans="1:19" x14ac:dyDescent="0.3">
      <c r="A44" s="2">
        <v>4</v>
      </c>
      <c r="B44" s="1"/>
      <c r="C44" s="1"/>
      <c r="D44" s="1"/>
      <c r="E44" s="1">
        <v>50000</v>
      </c>
      <c r="F44" s="1"/>
      <c r="G44" s="1"/>
      <c r="H44" s="1">
        <f>E44*(36*0.03)+E44</f>
        <v>104000</v>
      </c>
      <c r="I44" s="1"/>
      <c r="J44" s="1"/>
      <c r="K44" s="1">
        <f>H44*(36*0.03)+H44</f>
        <v>216320</v>
      </c>
      <c r="L44" s="1"/>
      <c r="M44" s="1"/>
      <c r="N44" s="1">
        <f>K44*(36*0.03)+K44</f>
        <v>449945.59999999998</v>
      </c>
      <c r="O44" s="1"/>
      <c r="P44" s="1"/>
      <c r="Q44" s="1">
        <f>N44*(36*0.03)+N44</f>
        <v>935886.848</v>
      </c>
    </row>
    <row r="45" spans="1:19" x14ac:dyDescent="0.3">
      <c r="A45" s="2">
        <v>5</v>
      </c>
      <c r="B45" s="1"/>
      <c r="C45" s="1"/>
      <c r="D45" s="1"/>
      <c r="E45" s="1"/>
      <c r="F45" s="1">
        <v>50000</v>
      </c>
      <c r="G45" s="1"/>
      <c r="H45" s="1"/>
      <c r="I45" s="1">
        <f>F45*(36*0.03)+F45</f>
        <v>104000</v>
      </c>
      <c r="J45" s="1"/>
      <c r="K45" s="1"/>
      <c r="L45" s="1">
        <f>I45*(36*0.03)+I45</f>
        <v>216320</v>
      </c>
      <c r="M45" s="1"/>
      <c r="N45" s="1"/>
      <c r="O45" s="1">
        <f>L45*(36*0.03)+L45</f>
        <v>449945.59999999998</v>
      </c>
      <c r="P45" s="1"/>
      <c r="R45" s="1">
        <f>O45*(36*0.03)+O45</f>
        <v>935886.848</v>
      </c>
    </row>
    <row r="46" spans="1:19" x14ac:dyDescent="0.3">
      <c r="A46" s="2">
        <v>6</v>
      </c>
      <c r="B46" s="1"/>
      <c r="C46" s="1"/>
      <c r="D46" s="1"/>
      <c r="E46" s="1"/>
      <c r="F46" s="1"/>
      <c r="G46" s="1">
        <v>50000</v>
      </c>
      <c r="H46" s="1"/>
      <c r="I46" s="1"/>
      <c r="J46" s="1">
        <f>G46*(36*0.03)+G46</f>
        <v>104000</v>
      </c>
      <c r="K46" s="1"/>
      <c r="L46" s="1"/>
      <c r="M46" s="1">
        <f>J46*(36*0.03)+J46</f>
        <v>216320</v>
      </c>
      <c r="N46" s="1"/>
      <c r="O46" s="1"/>
      <c r="P46" s="1">
        <f>M46*(36*0.03)+M46</f>
        <v>449945.59999999998</v>
      </c>
      <c r="S46" s="1">
        <f>P46*(36*0.03)+P46</f>
        <v>935886.848</v>
      </c>
    </row>
    <row r="48" spans="1:19" x14ac:dyDescent="0.3">
      <c r="M48" s="6"/>
      <c r="P48" s="3" t="s">
        <v>15</v>
      </c>
      <c r="Q48" s="4">
        <f>(SUM(Q41:Q47))*0.025</f>
        <v>66167.200153600003</v>
      </c>
      <c r="R48" s="4">
        <f>((SUM(R41:R47))*0.025)+Q48</f>
        <v>134861.29479680001</v>
      </c>
      <c r="S48" s="4">
        <f>((SUM(S41:S47))*0.025)+R48</f>
        <v>203555.38944</v>
      </c>
    </row>
    <row r="49" spans="13:19" x14ac:dyDescent="0.3">
      <c r="M49" s="6"/>
      <c r="P49" s="2" t="s">
        <v>14</v>
      </c>
      <c r="Q49" s="5">
        <f>SUM(Q41:S47)</f>
        <v>8142215.5776000014</v>
      </c>
      <c r="R49" s="5"/>
      <c r="S49" s="5"/>
    </row>
  </sheetData>
  <mergeCells count="8">
    <mergeCell ref="A39:S39"/>
    <mergeCell ref="N37:P37"/>
    <mergeCell ref="K25:M25"/>
    <mergeCell ref="Q49:S49"/>
    <mergeCell ref="H13:J13"/>
    <mergeCell ref="A3:J3"/>
    <mergeCell ref="A15:M15"/>
    <mergeCell ref="A27:P27"/>
  </mergeCells>
  <phoneticPr fontId="2" type="noConversion"/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Pavesi Junior</dc:creator>
  <cp:lastModifiedBy>Fabricio Pavesi Junior</cp:lastModifiedBy>
  <dcterms:created xsi:type="dcterms:W3CDTF">2026-07-07T21:32:28Z</dcterms:created>
  <dcterms:modified xsi:type="dcterms:W3CDTF">2026-07-07T22:42:12Z</dcterms:modified>
</cp:coreProperties>
</file>